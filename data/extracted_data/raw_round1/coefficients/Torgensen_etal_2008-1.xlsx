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esktop/"/>
    </mc:Choice>
  </mc:AlternateContent>
  <xr:revisionPtr revIDLastSave="0" documentId="13_ncr:1_{0FE49708-752F-7645-ADCB-B7829E801A29}" xr6:coauthVersionLast="47" xr6:coauthVersionMax="47" xr10:uidLastSave="{00000000-0000-0000-0000-000000000000}"/>
  <bookViews>
    <workbookView xWindow="15800" yWindow="4520" windowWidth="26440" windowHeight="15440" xr2:uid="{9D50BA1E-187F-AE48-8995-F24066BD92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H4" i="1"/>
  <c r="F6" i="1"/>
  <c r="F3" i="1"/>
  <c r="F7" i="1"/>
  <c r="F4" i="1"/>
  <c r="F8" i="1"/>
  <c r="F5" i="1"/>
  <c r="F9" i="1"/>
  <c r="F2" i="1"/>
  <c r="D6" i="1"/>
  <c r="D3" i="1"/>
  <c r="D7" i="1"/>
  <c r="D4" i="1"/>
  <c r="D8" i="1"/>
  <c r="D5" i="1"/>
  <c r="D9" i="1"/>
  <c r="D2" i="1"/>
</calcChain>
</file>

<file path=xl/sharedStrings.xml><?xml version="1.0" encoding="utf-8"?>
<sst xmlns="http://schemas.openxmlformats.org/spreadsheetml/2006/main" count="22" uniqueCount="12">
  <si>
    <t>toxin</t>
  </si>
  <si>
    <t>species</t>
  </si>
  <si>
    <t>hlife</t>
  </si>
  <si>
    <t>OA</t>
  </si>
  <si>
    <t>DTX1</t>
  </si>
  <si>
    <t>DTX2</t>
  </si>
  <si>
    <t>PTX-SA</t>
  </si>
  <si>
    <t>Mussel</t>
  </si>
  <si>
    <t>Oyster</t>
  </si>
  <si>
    <t>k</t>
  </si>
  <si>
    <t>n0</t>
  </si>
  <si>
    <t>log_n0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</si>
</sst>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3FE3-E707-1F4E-8CB4-E104E22098FE}">
  <dimension ref="A1:H9"/>
  <sheetViews>
    <sheetView tabSelected="1" workbookViewId="0">
      <selection activeCell="I4" sqref="I4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9</v>
      </c>
      <c r="E1" t="s">
        <v>11</v>
      </c>
      <c r="F1" t="s">
        <v>10</v>
      </c>
    </row>
    <row r="2" spans="1:8" x14ac:dyDescent="0.2">
      <c r="A2" t="s">
        <v>3</v>
      </c>
      <c r="B2" t="s">
        <v>7</v>
      </c>
      <c r="C2">
        <v>10</v>
      </c>
      <c r="D2">
        <f>LN(2)/C2</f>
        <v>6.9314718055994526E-2</v>
      </c>
      <c r="E2">
        <v>3</v>
      </c>
      <c r="F2">
        <f>EXP(E2)</f>
        <v>20.085536923187668</v>
      </c>
    </row>
    <row r="3" spans="1:8" x14ac:dyDescent="0.2">
      <c r="A3" t="s">
        <v>4</v>
      </c>
      <c r="B3" t="s">
        <v>7</v>
      </c>
      <c r="C3">
        <v>20</v>
      </c>
      <c r="D3">
        <f>LN(2)/C3</f>
        <v>3.4657359027997263E-2</v>
      </c>
      <c r="E3" s="2">
        <v>2.9</v>
      </c>
      <c r="F3">
        <f>EXP(E3)</f>
        <v>18.17414536944306</v>
      </c>
    </row>
    <row r="4" spans="1:8" x14ac:dyDescent="0.2">
      <c r="A4" t="s">
        <v>5</v>
      </c>
      <c r="B4" t="s">
        <v>7</v>
      </c>
      <c r="C4">
        <v>12</v>
      </c>
      <c r="D4">
        <f>LN(2)/C4</f>
        <v>5.7762265046662105E-2</v>
      </c>
      <c r="E4">
        <v>2.5</v>
      </c>
      <c r="F4">
        <f>EXP(E4)</f>
        <v>12.182493960703473</v>
      </c>
      <c r="H4">
        <f>SUMPRODUCT(D2:D4,F2:F4)/SUM(F2:F4)</f>
        <v>5.4037709263925045E-2</v>
      </c>
    </row>
    <row r="5" spans="1:8" x14ac:dyDescent="0.2">
      <c r="A5" t="s">
        <v>6</v>
      </c>
      <c r="B5" t="s">
        <v>7</v>
      </c>
      <c r="C5">
        <v>11</v>
      </c>
      <c r="D5">
        <f>LN(2)/C5</f>
        <v>6.3013380050904122E-2</v>
      </c>
      <c r="E5">
        <v>4</v>
      </c>
      <c r="F5">
        <f>EXP(E5)</f>
        <v>54.598150033144236</v>
      </c>
    </row>
    <row r="6" spans="1:8" x14ac:dyDescent="0.2">
      <c r="A6" t="s">
        <v>3</v>
      </c>
      <c r="B6" t="s">
        <v>8</v>
      </c>
      <c r="C6">
        <v>14</v>
      </c>
      <c r="D6">
        <f>LN(2)/C6</f>
        <v>4.9510512897138946E-2</v>
      </c>
      <c r="E6">
        <v>1.9</v>
      </c>
      <c r="F6">
        <f>EXP(E6)</f>
        <v>6.6858944422792685</v>
      </c>
    </row>
    <row r="7" spans="1:8" x14ac:dyDescent="0.2">
      <c r="A7" t="s">
        <v>4</v>
      </c>
      <c r="B7" t="s">
        <v>8</v>
      </c>
      <c r="C7">
        <v>22</v>
      </c>
      <c r="D7">
        <f>LN(2)/C7</f>
        <v>3.1506690025452061E-2</v>
      </c>
      <c r="E7">
        <v>2.4</v>
      </c>
      <c r="F7">
        <f>EXP(E7)</f>
        <v>11.023176380641601</v>
      </c>
    </row>
    <row r="8" spans="1:8" x14ac:dyDescent="0.2">
      <c r="A8" t="s">
        <v>5</v>
      </c>
      <c r="B8" t="s">
        <v>8</v>
      </c>
      <c r="C8">
        <v>15</v>
      </c>
      <c r="D8">
        <f>LN(2)/C8</f>
        <v>4.6209812037329684E-2</v>
      </c>
      <c r="E8" s="1">
        <v>1.45</v>
      </c>
      <c r="F8">
        <f>EXP(E8)</f>
        <v>4.2631145151688168</v>
      </c>
      <c r="H8">
        <f>SUMPRODUCT(D6:D8,F6:F8)/SUM(F6:F8)</f>
        <v>3.9837802717615445E-2</v>
      </c>
    </row>
    <row r="9" spans="1:8" x14ac:dyDescent="0.2">
      <c r="A9" t="s">
        <v>6</v>
      </c>
      <c r="B9" t="s">
        <v>8</v>
      </c>
      <c r="C9">
        <v>13</v>
      </c>
      <c r="D9">
        <f>LN(2)/C9</f>
        <v>5.3319013889226559E-2</v>
      </c>
      <c r="E9">
        <v>3.35</v>
      </c>
      <c r="F9">
        <f>EXP(E9)</f>
        <v>28.502733643767282</v>
      </c>
    </row>
  </sheetData>
  <sortState xmlns:xlrd2="http://schemas.microsoft.com/office/spreadsheetml/2017/richdata2" ref="A2:F9">
    <sortCondition ref="B2:B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2025-11-18T01:21:45Z</dcterms:created>
  <dcterms:modified xsi:type="dcterms:W3CDTF">2025-11-18T01:30:00Z</dcterms:modified>
</cp:coreProperties>
</file>