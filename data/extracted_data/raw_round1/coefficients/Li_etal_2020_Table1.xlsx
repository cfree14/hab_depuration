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ropbox/Chris/UCSB/projects/hab_depuration/data/extracted_data/raw_round1/coefficients/"/>
    </mc:Choice>
  </mc:AlternateContent>
  <xr:revisionPtr revIDLastSave="0" documentId="13_ncr:1_{C2CC702D-08CE-6245-BD73-B41F80629BC1}" xr6:coauthVersionLast="47" xr6:coauthVersionMax="47" xr10:uidLastSave="{00000000-0000-0000-0000-000000000000}"/>
  <bookViews>
    <workbookView xWindow="5700" yWindow="500" windowWidth="26420" windowHeight="19180" xr2:uid="{D2611AFC-9897-7843-860C-799D6B7245FB}"/>
  </bookViews>
  <sheets>
    <sheet name="Li_etal_2020_Tab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" i="1" l="1"/>
  <c r="O25" i="1"/>
  <c r="O22" i="1"/>
  <c r="O19" i="1"/>
  <c r="O16" i="1"/>
  <c r="O13" i="1"/>
  <c r="O10" i="1"/>
  <c r="O4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" i="1"/>
</calcChain>
</file>

<file path=xl/sharedStrings.xml><?xml version="1.0" encoding="utf-8"?>
<sst xmlns="http://schemas.openxmlformats.org/spreadsheetml/2006/main" count="61" uniqueCount="24">
  <si>
    <t>compound</t>
  </si>
  <si>
    <t>tissue</t>
  </si>
  <si>
    <t>uptake_rate</t>
  </si>
  <si>
    <t>uptake_se</t>
  </si>
  <si>
    <t>kd</t>
  </si>
  <si>
    <t>kd_se</t>
  </si>
  <si>
    <t>t1/2</t>
  </si>
  <si>
    <t>t1/2_se</t>
  </si>
  <si>
    <t>alpha</t>
  </si>
  <si>
    <t>BAF</t>
  </si>
  <si>
    <t>tss</t>
  </si>
  <si>
    <t>P-CTX-1</t>
  </si>
  <si>
    <t>muscle</t>
  </si>
  <si>
    <t>skin</t>
  </si>
  <si>
    <t>brain</t>
  </si>
  <si>
    <t>gill</t>
  </si>
  <si>
    <t>liver</t>
  </si>
  <si>
    <t>intestine</t>
  </si>
  <si>
    <t>carcass</t>
  </si>
  <si>
    <t>whole fish</t>
  </si>
  <si>
    <t>P-CTX-2</t>
  </si>
  <si>
    <t>P-CTX-3</t>
  </si>
  <si>
    <t>n0_guess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</si>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</sst>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4CE89-44B2-D542-AA5D-82A2BDAC997A}">
  <dimension ref="A1:O25"/>
  <sheetViews>
    <sheetView tabSelected="1" workbookViewId="0">
      <selection activeCell="Q7" sqref="Q7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23</v>
      </c>
      <c r="K1" t="s">
        <v>8</v>
      </c>
      <c r="L1" t="s">
        <v>9</v>
      </c>
      <c r="M1" t="s">
        <v>10</v>
      </c>
    </row>
    <row r="2" spans="1:15" x14ac:dyDescent="0.2">
      <c r="A2" t="s">
        <v>11</v>
      </c>
      <c r="B2" t="s">
        <v>14</v>
      </c>
      <c r="C2">
        <v>1400</v>
      </c>
      <c r="D2">
        <v>48.5</v>
      </c>
      <c r="E2">
        <v>2.77</v>
      </c>
      <c r="F2">
        <v>5.92</v>
      </c>
      <c r="G2">
        <v>1.4</v>
      </c>
      <c r="H2">
        <v>11.7</v>
      </c>
      <c r="I2">
        <v>2.78</v>
      </c>
      <c r="J2">
        <f>LN(2)/H2</f>
        <v>5.9243348765807294E-2</v>
      </c>
    </row>
    <row r="3" spans="1:15" x14ac:dyDescent="0.2">
      <c r="A3" t="s">
        <v>20</v>
      </c>
      <c r="B3" t="s">
        <v>14</v>
      </c>
      <c r="C3">
        <v>600</v>
      </c>
      <c r="D3">
        <v>8.65</v>
      </c>
      <c r="E3">
        <v>0.58699999999999997</v>
      </c>
      <c r="F3">
        <v>8.2899999999999991</v>
      </c>
      <c r="G3">
        <v>0.435</v>
      </c>
      <c r="H3">
        <v>8.36</v>
      </c>
      <c r="I3">
        <v>0.439</v>
      </c>
      <c r="J3">
        <f t="shared" ref="J3:J25" si="0">LN(2)/H3</f>
        <v>8.2912342172242262E-2</v>
      </c>
    </row>
    <row r="4" spans="1:15" x14ac:dyDescent="0.2">
      <c r="A4" t="s">
        <v>21</v>
      </c>
      <c r="B4" t="s">
        <v>14</v>
      </c>
      <c r="C4">
        <v>200</v>
      </c>
      <c r="D4">
        <v>3</v>
      </c>
      <c r="E4">
        <v>0.38200000000000001</v>
      </c>
      <c r="F4">
        <v>2.0699999999999998</v>
      </c>
      <c r="G4">
        <v>1.08</v>
      </c>
      <c r="H4">
        <v>33.5</v>
      </c>
      <c r="I4">
        <v>17.5</v>
      </c>
      <c r="J4">
        <f t="shared" si="0"/>
        <v>2.0690960613729711E-2</v>
      </c>
      <c r="O4">
        <f>SUMPRODUCT(C2:C4,J2:J4)/SUM(C2:C4)</f>
        <v>6.2193766226464338E-2</v>
      </c>
    </row>
    <row r="5" spans="1:15" x14ac:dyDescent="0.2">
      <c r="A5" t="s">
        <v>11</v>
      </c>
      <c r="B5" t="s">
        <v>18</v>
      </c>
      <c r="C5">
        <v>750</v>
      </c>
      <c r="D5">
        <v>25.7</v>
      </c>
      <c r="E5">
        <v>1.38</v>
      </c>
      <c r="F5">
        <v>2.91</v>
      </c>
      <c r="G5">
        <v>0.28699999999999998</v>
      </c>
      <c r="H5">
        <v>23.8</v>
      </c>
      <c r="I5">
        <v>2.35</v>
      </c>
      <c r="J5">
        <f t="shared" si="0"/>
        <v>2.9123831115964088E-2</v>
      </c>
      <c r="K5">
        <v>6.01</v>
      </c>
      <c r="L5">
        <v>6.1899999999999997E-2</v>
      </c>
      <c r="M5">
        <v>65.2</v>
      </c>
    </row>
    <row r="6" spans="1:15" x14ac:dyDescent="0.2">
      <c r="A6" t="s">
        <v>20</v>
      </c>
      <c r="B6" t="s">
        <v>18</v>
      </c>
      <c r="C6">
        <v>165</v>
      </c>
      <c r="D6">
        <v>3.96</v>
      </c>
      <c r="E6">
        <v>0.249</v>
      </c>
      <c r="F6">
        <v>3.18</v>
      </c>
      <c r="G6">
        <v>0.80100000000000005</v>
      </c>
      <c r="H6">
        <v>21.8</v>
      </c>
      <c r="I6">
        <v>5.48</v>
      </c>
      <c r="J6">
        <f t="shared" si="0"/>
        <v>3.1795742227520428E-2</v>
      </c>
      <c r="K6">
        <v>2.88</v>
      </c>
      <c r="L6">
        <v>2.7099999999999999E-2</v>
      </c>
      <c r="M6">
        <v>59.7</v>
      </c>
    </row>
    <row r="7" spans="1:15" x14ac:dyDescent="0.2">
      <c r="A7" t="s">
        <v>21</v>
      </c>
      <c r="B7" t="s">
        <v>18</v>
      </c>
      <c r="C7">
        <v>50</v>
      </c>
      <c r="D7">
        <v>1.1200000000000001</v>
      </c>
      <c r="E7">
        <v>7.8600000000000003E-2</v>
      </c>
      <c r="F7">
        <v>1.82</v>
      </c>
      <c r="G7">
        <v>1.57</v>
      </c>
      <c r="H7">
        <v>38.1</v>
      </c>
      <c r="I7">
        <v>32.799999999999997</v>
      </c>
      <c r="J7">
        <f t="shared" si="0"/>
        <v>1.8192839384775467E-2</v>
      </c>
      <c r="K7">
        <v>1.28</v>
      </c>
      <c r="L7">
        <v>2.1000000000000001E-2</v>
      </c>
      <c r="M7">
        <v>104</v>
      </c>
      <c r="O7">
        <f>SUMPRODUCT(C5:C7,J5:J7)/SUM(C5:C7)</f>
        <v>2.9014313755184155E-2</v>
      </c>
    </row>
    <row r="8" spans="1:15" x14ac:dyDescent="0.2">
      <c r="A8" t="s">
        <v>11</v>
      </c>
      <c r="B8" t="s">
        <v>15</v>
      </c>
      <c r="C8">
        <v>3200</v>
      </c>
      <c r="D8">
        <v>45.5</v>
      </c>
      <c r="E8">
        <v>3.03</v>
      </c>
      <c r="F8">
        <v>1.67</v>
      </c>
      <c r="G8">
        <v>0.501</v>
      </c>
      <c r="H8">
        <v>41.5</v>
      </c>
      <c r="I8">
        <v>12.4</v>
      </c>
      <c r="J8">
        <f t="shared" si="0"/>
        <v>1.6702341700239647E-2</v>
      </c>
    </row>
    <row r="9" spans="1:15" x14ac:dyDescent="0.2">
      <c r="A9" t="s">
        <v>20</v>
      </c>
      <c r="B9" t="s">
        <v>15</v>
      </c>
      <c r="C9">
        <v>500</v>
      </c>
      <c r="D9">
        <v>11.6</v>
      </c>
      <c r="E9">
        <v>3.55</v>
      </c>
      <c r="F9">
        <v>1.51</v>
      </c>
      <c r="G9">
        <v>1.5</v>
      </c>
      <c r="H9">
        <v>45.9</v>
      </c>
      <c r="I9">
        <v>45.6</v>
      </c>
      <c r="J9">
        <f t="shared" si="0"/>
        <v>1.510124576383323E-2</v>
      </c>
    </row>
    <row r="10" spans="1:15" x14ac:dyDescent="0.2">
      <c r="A10" t="s">
        <v>21</v>
      </c>
      <c r="B10" t="s">
        <v>15</v>
      </c>
      <c r="C10">
        <v>150</v>
      </c>
      <c r="D10">
        <v>2.78</v>
      </c>
      <c r="E10">
        <v>0.27200000000000002</v>
      </c>
      <c r="F10">
        <v>1.33</v>
      </c>
      <c r="G10">
        <v>1.57</v>
      </c>
      <c r="H10">
        <v>52</v>
      </c>
      <c r="I10">
        <v>61.2</v>
      </c>
      <c r="J10">
        <f t="shared" si="0"/>
        <v>1.332975347230664E-2</v>
      </c>
      <c r="O10">
        <f>SUMPRODUCT(C8:C10,J8:J10)/SUM(C8:C10)</f>
        <v>1.6363007621695968E-2</v>
      </c>
    </row>
    <row r="11" spans="1:15" x14ac:dyDescent="0.2">
      <c r="A11" t="s">
        <v>11</v>
      </c>
      <c r="B11" t="s">
        <v>17</v>
      </c>
      <c r="C11">
        <v>2600</v>
      </c>
      <c r="D11">
        <v>48.8</v>
      </c>
      <c r="E11">
        <v>2.14</v>
      </c>
      <c r="F11">
        <v>2.74</v>
      </c>
      <c r="G11">
        <v>0.40899999999999997</v>
      </c>
      <c r="H11">
        <v>25.3</v>
      </c>
      <c r="I11">
        <v>3.78</v>
      </c>
      <c r="J11">
        <f t="shared" si="0"/>
        <v>2.7397121761262657E-2</v>
      </c>
    </row>
    <row r="12" spans="1:15" x14ac:dyDescent="0.2">
      <c r="A12" t="s">
        <v>20</v>
      </c>
      <c r="B12" t="s">
        <v>17</v>
      </c>
      <c r="C12">
        <v>450</v>
      </c>
      <c r="D12">
        <v>10.8</v>
      </c>
      <c r="E12">
        <v>0.81699999999999995</v>
      </c>
      <c r="F12">
        <v>2</v>
      </c>
      <c r="G12">
        <v>0.84</v>
      </c>
      <c r="H12">
        <v>34.6</v>
      </c>
      <c r="I12">
        <v>14.5</v>
      </c>
      <c r="J12">
        <f t="shared" si="0"/>
        <v>2.0033155507512869E-2</v>
      </c>
    </row>
    <row r="13" spans="1:15" x14ac:dyDescent="0.2">
      <c r="A13" t="s">
        <v>21</v>
      </c>
      <c r="B13" t="s">
        <v>17</v>
      </c>
      <c r="C13">
        <v>100</v>
      </c>
      <c r="D13">
        <v>2.54</v>
      </c>
      <c r="E13">
        <v>0.16500000000000001</v>
      </c>
      <c r="F13">
        <v>1.66</v>
      </c>
      <c r="G13">
        <v>1.07</v>
      </c>
      <c r="H13">
        <v>41.9</v>
      </c>
      <c r="I13">
        <v>26.9</v>
      </c>
      <c r="J13">
        <f t="shared" si="0"/>
        <v>1.6542892137468863E-2</v>
      </c>
      <c r="O13">
        <f>SUMPRODUCT(C11:C13,J11:J13)/SUM(C11:C13)</f>
        <v>2.6000547863939873E-2</v>
      </c>
    </row>
    <row r="14" spans="1:15" x14ac:dyDescent="0.2">
      <c r="A14" t="s">
        <v>11</v>
      </c>
      <c r="B14" t="s">
        <v>16</v>
      </c>
      <c r="C14">
        <v>3000</v>
      </c>
      <c r="D14">
        <v>95</v>
      </c>
      <c r="E14">
        <v>6.12</v>
      </c>
      <c r="F14">
        <v>16.5</v>
      </c>
      <c r="G14">
        <v>1.27</v>
      </c>
      <c r="H14">
        <v>4.1900000000000004</v>
      </c>
      <c r="I14">
        <v>0.32300000000000001</v>
      </c>
      <c r="J14">
        <f t="shared" si="0"/>
        <v>0.16542892137468859</v>
      </c>
    </row>
    <row r="15" spans="1:15" x14ac:dyDescent="0.2">
      <c r="A15" t="s">
        <v>20</v>
      </c>
      <c r="B15" t="s">
        <v>16</v>
      </c>
      <c r="C15">
        <v>200</v>
      </c>
      <c r="D15">
        <v>6.27</v>
      </c>
      <c r="E15">
        <v>1.79</v>
      </c>
      <c r="F15">
        <v>16.100000000000001</v>
      </c>
      <c r="G15">
        <v>1.3</v>
      </c>
      <c r="H15">
        <v>4.3099999999999996</v>
      </c>
      <c r="I15">
        <v>0.34899999999999998</v>
      </c>
      <c r="J15">
        <f t="shared" si="0"/>
        <v>0.16082301173084579</v>
      </c>
    </row>
    <row r="16" spans="1:15" x14ac:dyDescent="0.2">
      <c r="A16" t="s">
        <v>21</v>
      </c>
      <c r="B16" t="s">
        <v>16</v>
      </c>
      <c r="C16">
        <v>100</v>
      </c>
      <c r="D16">
        <v>1.5</v>
      </c>
      <c r="E16">
        <v>0.28399999999999997</v>
      </c>
      <c r="F16">
        <v>10.6</v>
      </c>
      <c r="G16">
        <v>2.59</v>
      </c>
      <c r="H16">
        <v>6.53</v>
      </c>
      <c r="I16">
        <v>1.59</v>
      </c>
      <c r="J16">
        <f t="shared" si="0"/>
        <v>0.1061481134088737</v>
      </c>
      <c r="O16">
        <f>SUMPRODUCT(C14:C16,J14:J16)/SUM(C14:C16)</f>
        <v>0.16335338721549161</v>
      </c>
    </row>
    <row r="17" spans="1:15" x14ac:dyDescent="0.2">
      <c r="A17" t="s">
        <v>11</v>
      </c>
      <c r="B17" t="s">
        <v>12</v>
      </c>
      <c r="C17">
        <v>1000</v>
      </c>
      <c r="D17">
        <v>33.700000000000003</v>
      </c>
      <c r="E17">
        <v>2.5299999999999998</v>
      </c>
      <c r="F17">
        <v>2.52</v>
      </c>
      <c r="G17">
        <v>0.215</v>
      </c>
      <c r="H17">
        <v>27.5</v>
      </c>
      <c r="I17">
        <v>2.34</v>
      </c>
      <c r="J17">
        <f t="shared" si="0"/>
        <v>2.5205352020361647E-2</v>
      </c>
    </row>
    <row r="18" spans="1:15" x14ac:dyDescent="0.2">
      <c r="A18" t="s">
        <v>20</v>
      </c>
      <c r="B18" t="s">
        <v>12</v>
      </c>
      <c r="C18">
        <v>250</v>
      </c>
      <c r="D18">
        <v>5</v>
      </c>
      <c r="E18">
        <v>0.26</v>
      </c>
      <c r="F18">
        <v>2.7</v>
      </c>
      <c r="G18">
        <v>1.1000000000000001</v>
      </c>
      <c r="H18">
        <v>25.6</v>
      </c>
      <c r="I18">
        <v>10.4</v>
      </c>
      <c r="J18">
        <f t="shared" si="0"/>
        <v>2.707606174062286E-2</v>
      </c>
    </row>
    <row r="19" spans="1:15" x14ac:dyDescent="0.2">
      <c r="A19" t="s">
        <v>21</v>
      </c>
      <c r="B19" t="s">
        <v>12</v>
      </c>
      <c r="C19">
        <v>50</v>
      </c>
      <c r="D19">
        <v>1.37</v>
      </c>
      <c r="E19">
        <v>8.6599999999999996E-2</v>
      </c>
      <c r="F19">
        <v>2.11</v>
      </c>
      <c r="G19">
        <v>1.22</v>
      </c>
      <c r="H19">
        <v>32.9</v>
      </c>
      <c r="I19">
        <v>19.100000000000001</v>
      </c>
      <c r="J19">
        <f t="shared" si="0"/>
        <v>2.106830336048466E-2</v>
      </c>
      <c r="O19">
        <f>SUMPRODUCT(C17:C19,J17:J19)/SUM(C17:C19)</f>
        <v>2.5405986633493537E-2</v>
      </c>
    </row>
    <row r="20" spans="1:15" x14ac:dyDescent="0.2">
      <c r="A20" t="s">
        <v>11</v>
      </c>
      <c r="B20" t="s">
        <v>13</v>
      </c>
      <c r="C20">
        <v>3000</v>
      </c>
      <c r="D20">
        <v>66.3</v>
      </c>
      <c r="E20">
        <v>3.49</v>
      </c>
      <c r="F20">
        <v>0.96599999999999997</v>
      </c>
      <c r="G20">
        <v>0.47499999999999998</v>
      </c>
      <c r="H20">
        <v>71.7</v>
      </c>
      <c r="I20">
        <v>35.299999999999997</v>
      </c>
      <c r="J20">
        <f t="shared" si="0"/>
        <v>9.6673246940020257E-3</v>
      </c>
    </row>
    <row r="21" spans="1:15" x14ac:dyDescent="0.2">
      <c r="A21" t="s">
        <v>20</v>
      </c>
      <c r="B21" t="s">
        <v>13</v>
      </c>
      <c r="C21">
        <v>600</v>
      </c>
      <c r="D21">
        <v>11.3</v>
      </c>
      <c r="E21">
        <v>0.89800000000000002</v>
      </c>
      <c r="F21">
        <v>1.57</v>
      </c>
      <c r="G21">
        <v>1.57</v>
      </c>
      <c r="H21">
        <v>44.1</v>
      </c>
      <c r="I21">
        <v>44.1</v>
      </c>
      <c r="J21">
        <f t="shared" si="0"/>
        <v>1.5717623141948873E-2</v>
      </c>
    </row>
    <row r="22" spans="1:15" x14ac:dyDescent="0.2">
      <c r="A22" t="s">
        <v>21</v>
      </c>
      <c r="B22" t="s">
        <v>13</v>
      </c>
      <c r="C22">
        <v>100</v>
      </c>
      <c r="D22">
        <v>4.07</v>
      </c>
      <c r="E22">
        <v>0.29499999999999998</v>
      </c>
      <c r="F22">
        <v>0.55700000000000005</v>
      </c>
      <c r="G22">
        <v>0.57099999999999995</v>
      </c>
      <c r="H22">
        <v>125</v>
      </c>
      <c r="I22">
        <v>128</v>
      </c>
      <c r="J22">
        <f t="shared" si="0"/>
        <v>5.5451774444795626E-3</v>
      </c>
      <c r="O22">
        <f>SUMPRODUCT(C20:C22,J20:J22)/SUM(C20:C22)</f>
        <v>1.053704478692523E-2</v>
      </c>
    </row>
    <row r="23" spans="1:15" x14ac:dyDescent="0.2">
      <c r="A23" t="s">
        <v>11</v>
      </c>
      <c r="B23" t="s">
        <v>19</v>
      </c>
      <c r="C23">
        <v>750</v>
      </c>
      <c r="D23">
        <v>25.2</v>
      </c>
      <c r="E23">
        <v>1.3</v>
      </c>
      <c r="F23">
        <v>3.23</v>
      </c>
      <c r="G23">
        <v>0.32</v>
      </c>
      <c r="H23">
        <v>21.4</v>
      </c>
      <c r="I23">
        <v>2.12</v>
      </c>
      <c r="J23">
        <f t="shared" si="0"/>
        <v>3.2390055166352585E-2</v>
      </c>
      <c r="K23">
        <v>6.13</v>
      </c>
      <c r="L23">
        <v>5.6899999999999999E-2</v>
      </c>
      <c r="M23">
        <v>58.7</v>
      </c>
    </row>
    <row r="24" spans="1:15" x14ac:dyDescent="0.2">
      <c r="A24" t="s">
        <v>20</v>
      </c>
      <c r="B24" t="s">
        <v>19</v>
      </c>
      <c r="C24">
        <v>165</v>
      </c>
      <c r="D24">
        <v>3.51</v>
      </c>
      <c r="E24">
        <v>0.21</v>
      </c>
      <c r="F24">
        <v>3.23</v>
      </c>
      <c r="G24">
        <v>0.82599999999999996</v>
      </c>
      <c r="H24">
        <v>21.5</v>
      </c>
      <c r="I24">
        <v>5.5</v>
      </c>
      <c r="J24">
        <f t="shared" si="0"/>
        <v>3.2239403746974198E-2</v>
      </c>
      <c r="K24">
        <v>2.61</v>
      </c>
      <c r="L24">
        <v>2.4299999999999999E-2</v>
      </c>
      <c r="M24">
        <v>58.7</v>
      </c>
    </row>
    <row r="25" spans="1:15" x14ac:dyDescent="0.2">
      <c r="A25" t="s">
        <v>21</v>
      </c>
      <c r="B25" t="s">
        <v>19</v>
      </c>
      <c r="C25">
        <v>50</v>
      </c>
      <c r="D25">
        <v>0.95599999999999996</v>
      </c>
      <c r="E25">
        <v>7.1400000000000005E-2</v>
      </c>
      <c r="F25">
        <v>1.83</v>
      </c>
      <c r="G25">
        <v>1.36</v>
      </c>
      <c r="H25">
        <v>38</v>
      </c>
      <c r="I25">
        <v>28.3</v>
      </c>
      <c r="J25">
        <f t="shared" si="0"/>
        <v>1.8240715277893296E-2</v>
      </c>
      <c r="K25">
        <v>1.1499999999999999</v>
      </c>
      <c r="L25">
        <v>1.89E-2</v>
      </c>
      <c r="M25">
        <v>104</v>
      </c>
      <c r="O25">
        <f>SUMPRODUCT(C23:C25,J23:J25)/SUM(C23:C25)</f>
        <v>3.1631169696279632E-2</v>
      </c>
    </row>
  </sheetData>
  <sortState xmlns:xlrd2="http://schemas.microsoft.com/office/spreadsheetml/2017/richdata2" ref="A2:M25">
    <sortCondition ref="B2:B2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Li_etal_2020_Table1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Free</cp:lastModifiedBy>
  <dcterms:created xsi:type="dcterms:W3CDTF">2025-07-20T21:14:59Z</dcterms:created>
  <dcterms:modified xsi:type="dcterms:W3CDTF">2025-11-18T02:34:18Z</dcterms:modified>
</cp:coreProperties>
</file>