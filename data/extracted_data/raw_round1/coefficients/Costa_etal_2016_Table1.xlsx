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"/>
    </mc:Choice>
  </mc:AlternateContent>
  <xr:revisionPtr revIDLastSave="0" documentId="13_ncr:1_{AC4991D5-575D-204A-82A2-4A4C813DDCFE}" xr6:coauthVersionLast="47" xr6:coauthVersionMax="47" xr10:uidLastSave="{00000000-0000-0000-0000-000000000000}"/>
  <bookViews>
    <workbookView xWindow="4300" yWindow="2700" windowWidth="27640" windowHeight="16940" xr2:uid="{800BB9CD-F74E-7745-9572-688D8F7E21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2" i="1"/>
</calcChain>
</file>

<file path=xl/sharedStrings.xml><?xml version="1.0" encoding="utf-8"?>
<sst xmlns="http://schemas.openxmlformats.org/spreadsheetml/2006/main" count="31" uniqueCount="17">
  <si>
    <t>a</t>
  </si>
  <si>
    <t>b</t>
  </si>
  <si>
    <t>r*</t>
  </si>
  <si>
    <t>Digestive gland</t>
  </si>
  <si>
    <t>C1+2</t>
  </si>
  <si>
    <t>C3+4</t>
  </si>
  <si>
    <t>GTX5</t>
  </si>
  <si>
    <t>GTX6</t>
  </si>
  <si>
    <t>dcGTX2+3</t>
  </si>
  <si>
    <t>dcSTX</t>
  </si>
  <si>
    <t>dcNEO</t>
  </si>
  <si>
    <t>GTX2+3</t>
  </si>
  <si>
    <t>STX</t>
  </si>
  <si>
    <t>NEO</t>
  </si>
  <si>
    <t>Gills</t>
  </si>
  <si>
    <t>tissue</t>
  </si>
  <si>
    <t>toxin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</si>
</sst>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0072-D82B-BB49-A7B6-52431B8F6ED5}">
  <dimension ref="A1:I14"/>
  <sheetViews>
    <sheetView tabSelected="1" workbookViewId="0">
      <selection activeCell="F13" sqref="F13"/>
    </sheetView>
  </sheetViews>
  <sheetFormatPr baseColWidth="10" defaultRowHeight="16" x14ac:dyDescent="0.2"/>
  <sheetData>
    <row r="1" spans="1:9" x14ac:dyDescent="0.2">
      <c r="A1" t="s">
        <v>15</v>
      </c>
      <c r="B1" t="s">
        <v>16</v>
      </c>
      <c r="C1" t="s">
        <v>0</v>
      </c>
      <c r="E1" t="s">
        <v>1</v>
      </c>
      <c r="G1" t="s">
        <v>2</v>
      </c>
    </row>
    <row r="2" spans="1:9" x14ac:dyDescent="0.2">
      <c r="A2" t="s">
        <v>3</v>
      </c>
      <c r="B2" t="s">
        <v>4</v>
      </c>
      <c r="C2">
        <v>70</v>
      </c>
      <c r="D2">
        <v>-3.1</v>
      </c>
      <c r="E2">
        <v>0.115</v>
      </c>
      <c r="F2">
        <v>-9.2999999999999992E-3</v>
      </c>
      <c r="G2">
        <v>0.97699999999999998</v>
      </c>
      <c r="I2">
        <f>SUMPRODUCT(E2:E11,C2:C11)/SUM(C2:C11)</f>
        <v>0.12435720316332698</v>
      </c>
    </row>
    <row r="3" spans="1:9" x14ac:dyDescent="0.2">
      <c r="A3" t="s">
        <v>3</v>
      </c>
      <c r="B3" t="s">
        <v>5</v>
      </c>
      <c r="C3">
        <v>85.6</v>
      </c>
      <c r="D3">
        <v>-3.3</v>
      </c>
      <c r="E3">
        <v>0.14399999999999999</v>
      </c>
      <c r="F3">
        <v>-1.0999999999999999E-2</v>
      </c>
      <c r="G3">
        <v>0.98299999999999998</v>
      </c>
    </row>
    <row r="4" spans="1:9" x14ac:dyDescent="0.2">
      <c r="A4" t="s">
        <v>3</v>
      </c>
      <c r="B4" t="s">
        <v>6</v>
      </c>
      <c r="C4">
        <v>14.8</v>
      </c>
      <c r="D4">
        <v>-1.2</v>
      </c>
      <c r="E4">
        <v>7.2400000000000006E-2</v>
      </c>
      <c r="F4">
        <v>-9.4000000000000004E-3</v>
      </c>
      <c r="G4">
        <v>0.92200000000000004</v>
      </c>
    </row>
    <row r="5" spans="1:9" x14ac:dyDescent="0.2">
      <c r="A5" t="s">
        <v>3</v>
      </c>
      <c r="B5" t="s">
        <v>7</v>
      </c>
      <c r="C5">
        <v>15.6</v>
      </c>
      <c r="D5">
        <v>-0.83</v>
      </c>
      <c r="E5">
        <v>0.10299999999999999</v>
      </c>
      <c r="F5">
        <v>-9.9000000000000008E-3</v>
      </c>
      <c r="G5">
        <v>0.96799999999999997</v>
      </c>
    </row>
    <row r="6" spans="1:9" x14ac:dyDescent="0.2">
      <c r="A6" t="s">
        <v>3</v>
      </c>
      <c r="B6" t="s">
        <v>8</v>
      </c>
      <c r="C6">
        <v>7.45</v>
      </c>
      <c r="D6">
        <v>-0.28000000000000003</v>
      </c>
      <c r="E6">
        <v>0.124</v>
      </c>
      <c r="F6">
        <v>-8.5999999999999993E-2</v>
      </c>
      <c r="G6">
        <v>0.98399999999999999</v>
      </c>
    </row>
    <row r="7" spans="1:9" x14ac:dyDescent="0.2">
      <c r="A7" t="s">
        <v>3</v>
      </c>
      <c r="B7" t="s">
        <v>9</v>
      </c>
      <c r="C7">
        <v>1.73</v>
      </c>
      <c r="D7">
        <v>-8.4000000000000005E-2</v>
      </c>
      <c r="E7">
        <v>0.107</v>
      </c>
      <c r="F7">
        <v>-9.1999999999999998E-3</v>
      </c>
      <c r="G7">
        <v>0.97099999999999997</v>
      </c>
    </row>
    <row r="8" spans="1:9" x14ac:dyDescent="0.2">
      <c r="A8" t="s">
        <v>3</v>
      </c>
      <c r="B8" t="s">
        <v>10</v>
      </c>
      <c r="C8">
        <v>2.83</v>
      </c>
      <c r="D8">
        <v>-0.13</v>
      </c>
      <c r="E8">
        <v>0.13100000000000001</v>
      </c>
      <c r="F8">
        <v>-1.0999999999999999E-2</v>
      </c>
      <c r="G8">
        <v>0.97799999999999998</v>
      </c>
    </row>
    <row r="9" spans="1:9" x14ac:dyDescent="0.2">
      <c r="A9" t="s">
        <v>3</v>
      </c>
      <c r="B9" t="s">
        <v>11</v>
      </c>
      <c r="C9">
        <v>1.18</v>
      </c>
      <c r="D9">
        <v>-3.7999999999999999E-2</v>
      </c>
      <c r="E9">
        <v>0.17799999999999999</v>
      </c>
      <c r="F9">
        <v>-1.2E-2</v>
      </c>
      <c r="G9">
        <v>0.98599999999999999</v>
      </c>
    </row>
    <row r="10" spans="1:9" x14ac:dyDescent="0.2">
      <c r="A10" t="s">
        <v>3</v>
      </c>
      <c r="B10" t="s">
        <v>12</v>
      </c>
      <c r="C10">
        <v>0.39700000000000002</v>
      </c>
      <c r="D10">
        <v>-1.6E-2</v>
      </c>
      <c r="E10">
        <v>0.24099999999999999</v>
      </c>
      <c r="F10">
        <v>-2.9000000000000001E-2</v>
      </c>
      <c r="G10">
        <v>0.97899999999999998</v>
      </c>
    </row>
    <row r="11" spans="1:9" x14ac:dyDescent="0.2">
      <c r="A11" t="s">
        <v>3</v>
      </c>
      <c r="B11" t="s">
        <v>13</v>
      </c>
      <c r="C11">
        <v>0.58199999999999996</v>
      </c>
      <c r="D11">
        <v>-2.3E-2</v>
      </c>
      <c r="E11">
        <v>0.09</v>
      </c>
      <c r="F11">
        <v>-5.0000000000000001E-3</v>
      </c>
      <c r="G11">
        <v>0.97899999999999998</v>
      </c>
    </row>
    <row r="12" spans="1:9" x14ac:dyDescent="0.2">
      <c r="A12" t="s">
        <v>14</v>
      </c>
      <c r="B12" t="s">
        <v>4</v>
      </c>
      <c r="C12">
        <v>4.37</v>
      </c>
      <c r="D12">
        <v>-0.17799999999999999</v>
      </c>
      <c r="E12">
        <v>8.4000000000000005E-2</v>
      </c>
      <c r="F12">
        <v>-5.4000000000000003E-3</v>
      </c>
      <c r="G12">
        <v>0.97399999999999998</v>
      </c>
      <c r="I12">
        <f>SUMPRODUCT(E12:E14,C12:C14)/SUM(C12:C14)</f>
        <v>7.8250626333859152E-2</v>
      </c>
    </row>
    <row r="13" spans="1:9" x14ac:dyDescent="0.2">
      <c r="A13" t="s">
        <v>14</v>
      </c>
      <c r="B13" t="s">
        <v>5</v>
      </c>
      <c r="C13">
        <v>6.1</v>
      </c>
      <c r="D13">
        <v>-0.34300000000000003</v>
      </c>
      <c r="E13">
        <v>7.4999999999999997E-2</v>
      </c>
      <c r="F13">
        <v>-7.0000000000000001E-3</v>
      </c>
      <c r="G13">
        <v>0.94699999999999995</v>
      </c>
    </row>
    <row r="14" spans="1:9" x14ac:dyDescent="0.2">
      <c r="A14" t="s">
        <v>14</v>
      </c>
      <c r="B14" t="s">
        <v>8</v>
      </c>
      <c r="C14">
        <v>0.307</v>
      </c>
      <c r="D14">
        <v>-1.7000000000000001E-2</v>
      </c>
      <c r="E14">
        <v>6.0999999999999999E-2</v>
      </c>
      <c r="F14">
        <v>-5.5999999999999999E-3</v>
      </c>
      <c r="G14">
        <v>0.93600000000000005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2025-11-17T21:10:02Z</dcterms:created>
  <dcterms:modified xsi:type="dcterms:W3CDTF">2025-11-17T21:13:02Z</dcterms:modified>
</cp:coreProperties>
</file>